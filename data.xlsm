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gnac\Desktop\Proyectos\DCSCOPF\"/>
    </mc:Choice>
  </mc:AlternateContent>
  <xr:revisionPtr revIDLastSave="0" documentId="13_ncr:1_{06E18C88-40D2-48EA-8917-EBD220B1D561}" xr6:coauthVersionLast="45" xr6:coauthVersionMax="45" xr10:uidLastSave="{00000000-0000-0000-0000-000000000000}"/>
  <bookViews>
    <workbookView xWindow="-20610" yWindow="-120" windowWidth="20730" windowHeight="11160" xr2:uid="{85B00295-0744-41C0-9326-126AD080FF79}"/>
  </bookViews>
  <sheets>
    <sheet name="INFO" sheetId="1" r:id="rId1"/>
    <sheet name="DATA" sheetId="2" r:id="rId2"/>
    <sheet name="RESULTS" sheetId="3" r:id="rId3"/>
  </sheets>
  <functionGroups builtInGroupCount="19"/>
  <definedNames>
    <definedName name="AM">DATA!$B$1:$H$4</definedName>
    <definedName name="BM">DATA!$B$4:$H$7</definedName>
    <definedName name="COST">INFO!$D$2:$D$5</definedName>
    <definedName name="COSTSOL">RESULTS!$A$9</definedName>
    <definedName name="D">INFO!$G$2:$G$5</definedName>
    <definedName name="FMAXIJ">INFO!$M$2:$M$5</definedName>
    <definedName name="LSOL">RESULTS!$B$4:$H$4</definedName>
    <definedName name="NODEI">INFO!$J$2:$J$5</definedName>
    <definedName name="NODEJ">INFO!$K$2:$K$5</definedName>
    <definedName name="NUMLINES">INFO!$I$3:$I$5</definedName>
    <definedName name="NUMNODES">INFO!$A$3:$A$5</definedName>
    <definedName name="NUMSCEN">INFO!$P$6:$P$12</definedName>
    <definedName name="PMAX">INFO!$C$2:$C$5</definedName>
    <definedName name="PMIN">INFO!$B$2:$B$5</definedName>
    <definedName name="PSOL">RESULTS!$B$1:$H$1</definedName>
    <definedName name="RAMP_DOWN">INFO!$F$2:$F$5</definedName>
    <definedName name="RAMP_UP">INFO!$E$2:$E$5</definedName>
    <definedName name="X">INFO!$L$2:$L$5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3" l="1"/>
  <c r="D13" i="3"/>
  <c r="E13" i="3"/>
  <c r="F13" i="3"/>
  <c r="G13" i="3"/>
  <c r="H13" i="3"/>
  <c r="C14" i="3"/>
  <c r="D14" i="3"/>
  <c r="E14" i="3"/>
  <c r="F14" i="3"/>
  <c r="G14" i="3"/>
  <c r="H14" i="3"/>
  <c r="C15" i="3"/>
  <c r="D15" i="3"/>
  <c r="E15" i="3"/>
  <c r="F15" i="3"/>
  <c r="G15" i="3"/>
  <c r="H15" i="3"/>
  <c r="B15" i="3"/>
  <c r="B14" i="3"/>
  <c r="B13" i="3"/>
  <c r="D16" i="3" l="1"/>
  <c r="E16" i="3"/>
  <c r="F16" i="3"/>
  <c r="G16" i="3"/>
  <c r="C16" i="3"/>
  <c r="H16" i="3"/>
  <c r="B16" i="3"/>
  <c r="P3" i="1"/>
  <c r="P2" i="1"/>
</calcChain>
</file>

<file path=xl/sharedStrings.xml><?xml version="1.0" encoding="utf-8"?>
<sst xmlns="http://schemas.openxmlformats.org/spreadsheetml/2006/main" count="51" uniqueCount="30">
  <si>
    <t>GEN</t>
  </si>
  <si>
    <t>LOAD</t>
  </si>
  <si>
    <t>LINES</t>
  </si>
  <si>
    <t>NUMNODES</t>
  </si>
  <si>
    <t>PMIN</t>
  </si>
  <si>
    <t>PMAX</t>
  </si>
  <si>
    <t>COSTS</t>
  </si>
  <si>
    <t>D</t>
  </si>
  <si>
    <t>NUMLINES</t>
  </si>
  <si>
    <t>NODE I</t>
  </si>
  <si>
    <t>NODE J</t>
  </si>
  <si>
    <t>X</t>
  </si>
  <si>
    <t>FMAXIJ</t>
  </si>
  <si>
    <t>G1</t>
  </si>
  <si>
    <t>G2</t>
  </si>
  <si>
    <t>G3</t>
  </si>
  <si>
    <t>L1</t>
  </si>
  <si>
    <t>L2</t>
  </si>
  <si>
    <t>L3</t>
  </si>
  <si>
    <t>S1</t>
  </si>
  <si>
    <t>S2</t>
  </si>
  <si>
    <t>S3</t>
  </si>
  <si>
    <t>S4</t>
  </si>
  <si>
    <t>S5</t>
  </si>
  <si>
    <t>S6</t>
  </si>
  <si>
    <t>Base</t>
  </si>
  <si>
    <t>S0</t>
  </si>
  <si>
    <t>RAMP_MAX_UP</t>
  </si>
  <si>
    <t>RAMP_MAX_DOWN</t>
  </si>
  <si>
    <t>COSTS SOL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</si>
</sst>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2" fillId="0" borderId="0" xfId="0" applyFont="1"/>
    <xf numFmtId="164" fontId="0" fillId="0" borderId="0" xfId="0" applyNumberFormat="1" applyFont="1" applyAlignment="1">
      <alignment horizontal="center"/>
    </xf>
    <xf numFmtId="1" fontId="0" fillId="0" borderId="0" xfId="0" applyNumberFormat="1"/>
    <xf numFmtId="1" fontId="3" fillId="0" borderId="0" xfId="0" applyNumberFormat="1" applyFont="1"/>
    <xf numFmtId="0" fontId="1" fillId="4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</xdr:colOff>
      <xdr:row>0</xdr:row>
      <xdr:rowOff>142874</xdr:rowOff>
    </xdr:from>
    <xdr:to>
      <xdr:col>18</xdr:col>
      <xdr:colOff>19050</xdr:colOff>
      <xdr:row>3</xdr:row>
      <xdr:rowOff>76199</xdr:rowOff>
    </xdr:to>
    <xdr:sp macro="[0]!Creat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1275" y="142874"/>
          <a:ext cx="1495425" cy="5048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600"/>
            <a:t>Create</a:t>
          </a:r>
          <a:r>
            <a:rPr lang="es-CL" sz="1600" baseline="0"/>
            <a:t> Data</a:t>
          </a:r>
          <a:endParaRPr lang="es-CL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19050</xdr:rowOff>
        </xdr:to>
        <xdr:sp macro="" textlink="">
          <xdr:nvSpPr>
            <xdr:cNvPr id="1208" name="chb1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D26E9FFF-9D3F-4647-B67C-23C99E00A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19050</xdr:rowOff>
        </xdr:to>
        <xdr:sp macro="" textlink="">
          <xdr:nvSpPr>
            <xdr:cNvPr id="1209" name="chb2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14E6AADA-804A-46D3-A6B0-24390BCA2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19050</xdr:rowOff>
        </xdr:to>
        <xdr:sp macro="" textlink="">
          <xdr:nvSpPr>
            <xdr:cNvPr id="1210" name="chb3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431BB3FF-8DD7-4FA7-B7CD-BBED36E9E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19050</xdr:rowOff>
        </xdr:to>
        <xdr:sp macro="" textlink="">
          <xdr:nvSpPr>
            <xdr:cNvPr id="1211" name="chb4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C7555E1A-4799-4CCC-BC0C-DFF8C81F21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19050</xdr:rowOff>
        </xdr:to>
        <xdr:sp macro="" textlink="">
          <xdr:nvSpPr>
            <xdr:cNvPr id="1212" name="chb5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9D357B6-B882-4302-B18F-815C77C71B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19050</xdr:rowOff>
        </xdr:to>
        <xdr:sp macro="" textlink="">
          <xdr:nvSpPr>
            <xdr:cNvPr id="1213" name="chb6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FD980A4B-6A7D-4199-8003-ADB2E96D76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Activa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407AF-E452-43AD-B0D9-8FCBBD763407}">
  <sheetPr codeName="Hoja1"/>
  <dimension ref="A1:P12"/>
  <sheetViews>
    <sheetView tabSelected="1" zoomScale="90" zoomScaleNormal="90" workbookViewId="0">
      <selection activeCell="G18" sqref="G18"/>
    </sheetView>
  </sheetViews>
  <sheetFormatPr baseColWidth="10" defaultRowHeight="15" x14ac:dyDescent="0.25"/>
  <cols>
    <col min="5" max="5" width="14.85546875" bestFit="1" customWidth="1"/>
    <col min="6" max="6" width="18.5703125" bestFit="1" customWidth="1"/>
    <col min="8" max="8" width="7.28515625" customWidth="1"/>
    <col min="14" max="14" width="7.42578125" customWidth="1"/>
    <col min="15" max="15" width="11.42578125" style="3"/>
    <col min="16" max="16" width="11.85546875" bestFit="1" customWidth="1"/>
  </cols>
  <sheetData>
    <row r="1" spans="1:16" x14ac:dyDescent="0.25">
      <c r="A1" s="1"/>
      <c r="B1" s="10" t="s">
        <v>0</v>
      </c>
      <c r="C1" s="10"/>
      <c r="D1" s="10"/>
      <c r="E1" s="10"/>
      <c r="F1" s="10"/>
      <c r="G1" s="2" t="s">
        <v>1</v>
      </c>
      <c r="I1" s="9" t="s">
        <v>2</v>
      </c>
      <c r="J1" s="9"/>
      <c r="K1" s="9"/>
      <c r="L1" s="9"/>
      <c r="M1" s="9"/>
    </row>
    <row r="2" spans="1:16" s="1" customFormat="1" x14ac:dyDescent="0.25">
      <c r="A2" s="1" t="s">
        <v>3</v>
      </c>
      <c r="B2" s="1" t="s">
        <v>4</v>
      </c>
      <c r="C2" s="1" t="s">
        <v>5</v>
      </c>
      <c r="D2" s="1" t="s">
        <v>6</v>
      </c>
      <c r="E2" s="1" t="s">
        <v>27</v>
      </c>
      <c r="F2" s="1" t="s">
        <v>28</v>
      </c>
      <c r="G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O2" s="3" t="s">
        <v>3</v>
      </c>
      <c r="P2" s="1">
        <f>COUNT(A:A)</f>
        <v>3</v>
      </c>
    </row>
    <row r="3" spans="1:16" x14ac:dyDescent="0.25">
      <c r="A3" s="1">
        <v>1</v>
      </c>
      <c r="B3" s="1">
        <v>10</v>
      </c>
      <c r="C3" s="1">
        <v>100</v>
      </c>
      <c r="D3" s="1">
        <v>30</v>
      </c>
      <c r="E3" s="1">
        <v>100</v>
      </c>
      <c r="F3" s="1">
        <v>100</v>
      </c>
      <c r="G3" s="1">
        <v>0</v>
      </c>
      <c r="I3" s="1">
        <v>1</v>
      </c>
      <c r="J3">
        <v>1</v>
      </c>
      <c r="K3">
        <v>2</v>
      </c>
      <c r="L3" s="4">
        <v>1</v>
      </c>
      <c r="M3" s="1">
        <v>50</v>
      </c>
      <c r="O3" s="3" t="s">
        <v>8</v>
      </c>
      <c r="P3" s="1">
        <f>COUNT(I:I)</f>
        <v>3</v>
      </c>
    </row>
    <row r="4" spans="1:16" x14ac:dyDescent="0.25">
      <c r="A4" s="1">
        <v>2</v>
      </c>
      <c r="B4" s="1">
        <v>10</v>
      </c>
      <c r="C4" s="1">
        <v>150</v>
      </c>
      <c r="D4" s="1">
        <v>60</v>
      </c>
      <c r="E4" s="1">
        <v>100</v>
      </c>
      <c r="F4" s="1">
        <v>100</v>
      </c>
      <c r="G4" s="1">
        <v>100</v>
      </c>
      <c r="I4" s="1">
        <v>2</v>
      </c>
      <c r="J4">
        <v>2</v>
      </c>
      <c r="K4">
        <v>3</v>
      </c>
      <c r="L4" s="4">
        <v>1</v>
      </c>
      <c r="M4" s="1">
        <v>100</v>
      </c>
    </row>
    <row r="5" spans="1:16" x14ac:dyDescent="0.25">
      <c r="A5" s="1">
        <v>3</v>
      </c>
      <c r="B5" s="1">
        <v>10</v>
      </c>
      <c r="C5" s="1">
        <v>150</v>
      </c>
      <c r="D5" s="1">
        <v>120</v>
      </c>
      <c r="E5" s="1">
        <v>100</v>
      </c>
      <c r="F5" s="1">
        <v>100</v>
      </c>
      <c r="G5" s="1">
        <v>100</v>
      </c>
      <c r="I5" s="1">
        <v>3</v>
      </c>
      <c r="J5">
        <v>3</v>
      </c>
      <c r="K5">
        <v>1</v>
      </c>
      <c r="L5" s="6">
        <v>1</v>
      </c>
      <c r="M5" s="1">
        <v>100</v>
      </c>
    </row>
    <row r="6" spans="1:16" x14ac:dyDescent="0.25">
      <c r="A6" s="1"/>
      <c r="C6" s="5"/>
      <c r="M6" s="5"/>
      <c r="O6" s="3" t="s">
        <v>25</v>
      </c>
      <c r="P6">
        <v>0</v>
      </c>
    </row>
    <row r="7" spans="1:16" x14ac:dyDescent="0.25">
      <c r="O7" s="3" t="s">
        <v>13</v>
      </c>
      <c r="P7">
        <v>1</v>
      </c>
    </row>
    <row r="8" spans="1:16" x14ac:dyDescent="0.25">
      <c r="O8" s="3" t="s">
        <v>14</v>
      </c>
      <c r="P8">
        <v>2</v>
      </c>
    </row>
    <row r="9" spans="1:16" x14ac:dyDescent="0.25">
      <c r="O9" s="3" t="s">
        <v>15</v>
      </c>
      <c r="P9">
        <v>3</v>
      </c>
    </row>
    <row r="10" spans="1:16" x14ac:dyDescent="0.25">
      <c r="O10" s="3" t="s">
        <v>16</v>
      </c>
      <c r="P10">
        <v>4</v>
      </c>
    </row>
    <row r="11" spans="1:16" x14ac:dyDescent="0.25">
      <c r="O11" s="3" t="s">
        <v>17</v>
      </c>
      <c r="P11">
        <v>5</v>
      </c>
    </row>
    <row r="12" spans="1:16" x14ac:dyDescent="0.25">
      <c r="O12" s="3" t="s">
        <v>18</v>
      </c>
      <c r="P12">
        <v>6</v>
      </c>
    </row>
  </sheetData>
  <mergeCells count="2">
    <mergeCell ref="I1:M1"/>
    <mergeCell ref="B1:F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" r:id="rId4" name="chb1">
              <controlPr defaultSize="0" autoFill="0" autoLine="0" autoPict="0" macro="[0]!'changeContingencyStatus &quot;7&quot;'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5" name="chb2">
              <controlPr defaultSize="0" autoFill="0" autoLine="0" autoPict="0" macro="[0]!'changeContingencyStatus &quot;8&quot;'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6" name="chb3">
              <controlPr defaultSize="0" autoFill="0" autoLine="0" autoPict="0" macro="[0]!'changeContingencyStatus &quot;9&quot;'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7" name="chb4">
              <controlPr defaultSize="0" autoFill="0" autoLine="0" autoPict="0" macro="[0]!'changeContingencyStatus &quot;10&quot;'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8" name="chb5">
              <controlPr defaultSize="0" autoFill="0" autoLine="0" autoPict="0" macro="[0]!'changeContingencyStatus &quot;11&quot;'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9" name="chb6">
              <controlPr defaultSize="0" autoFill="0" autoLine="0" autoPict="0" macro="[0]!'changeContingencyStatus &quot;12&quot;'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9E648-A250-412F-975E-195772245246}">
  <sheetPr codeName="Hoja2"/>
  <dimension ref="A1:H7"/>
  <sheetViews>
    <sheetView workbookViewId="0">
      <selection activeCell="I8" sqref="I8"/>
    </sheetView>
  </sheetViews>
  <sheetFormatPr baseColWidth="10" defaultRowHeight="15" x14ac:dyDescent="0.25"/>
  <sheetData>
    <row r="1" spans="1:8" x14ac:dyDescent="0.25">
      <c r="B1" t="s">
        <v>26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</row>
    <row r="2" spans="1:8" x14ac:dyDescent="0.25">
      <c r="A2" t="s">
        <v>13</v>
      </c>
      <c r="B2">
        <v>1</v>
      </c>
      <c r="C2">
        <v>0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 t="s">
        <v>14</v>
      </c>
      <c r="B3">
        <v>1</v>
      </c>
      <c r="C3">
        <v>1</v>
      </c>
      <c r="D3">
        <v>0</v>
      </c>
      <c r="E3">
        <v>1</v>
      </c>
      <c r="F3">
        <v>1</v>
      </c>
      <c r="G3">
        <v>1</v>
      </c>
      <c r="H3">
        <v>1</v>
      </c>
    </row>
    <row r="4" spans="1:8" x14ac:dyDescent="0.25">
      <c r="A4" t="s">
        <v>15</v>
      </c>
      <c r="B4">
        <v>1</v>
      </c>
      <c r="C4">
        <v>1</v>
      </c>
      <c r="D4">
        <v>1</v>
      </c>
      <c r="E4">
        <v>0</v>
      </c>
      <c r="F4">
        <v>1</v>
      </c>
      <c r="G4">
        <v>1</v>
      </c>
      <c r="H4">
        <v>1</v>
      </c>
    </row>
    <row r="5" spans="1:8" x14ac:dyDescent="0.25">
      <c r="A5" t="s">
        <v>16</v>
      </c>
      <c r="B5">
        <v>1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</row>
    <row r="6" spans="1:8" x14ac:dyDescent="0.25">
      <c r="A6" t="s">
        <v>17</v>
      </c>
      <c r="B6">
        <v>1</v>
      </c>
      <c r="C6">
        <v>1</v>
      </c>
      <c r="D6">
        <v>1</v>
      </c>
      <c r="E6">
        <v>1</v>
      </c>
      <c r="F6">
        <v>1</v>
      </c>
      <c r="G6">
        <v>0</v>
      </c>
      <c r="H6">
        <v>1</v>
      </c>
    </row>
    <row r="7" spans="1:8" x14ac:dyDescent="0.25">
      <c r="A7" t="s">
        <v>18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EBC4B-911D-44C5-9924-C619E48E0AB5}">
  <sheetPr codeName="Hoja3"/>
  <dimension ref="A1:H16"/>
  <sheetViews>
    <sheetView workbookViewId="0">
      <selection activeCell="H11" sqref="H11"/>
    </sheetView>
  </sheetViews>
  <sheetFormatPr baseColWidth="10" defaultRowHeight="15" x14ac:dyDescent="0.25"/>
  <cols>
    <col min="2" max="5" width="12.7109375" bestFit="1" customWidth="1"/>
    <col min="6" max="6" width="12.42578125" bestFit="1" customWidth="1"/>
    <col min="7" max="8" width="12.5703125" bestFit="1" customWidth="1"/>
  </cols>
  <sheetData>
    <row r="1" spans="1:8" x14ac:dyDescent="0.25">
      <c r="B1" t="s">
        <v>26</v>
      </c>
      <c r="C1" s="11" t="s">
        <v>19</v>
      </c>
      <c r="D1" s="11" t="s">
        <v>20</v>
      </c>
      <c r="E1" s="11" t="s">
        <v>21</v>
      </c>
      <c r="F1" s="11" t="s">
        <v>22</v>
      </c>
      <c r="G1" s="11" t="s">
        <v>23</v>
      </c>
      <c r="H1" s="11" t="s">
        <v>24</v>
      </c>
    </row>
    <row r="2" spans="1:8" x14ac:dyDescent="0.25">
      <c r="A2" t="s">
        <v>13</v>
      </c>
      <c r="B2" s="7">
        <v>99.999999999999943</v>
      </c>
      <c r="C2" s="12">
        <v>0</v>
      </c>
      <c r="D2" s="12">
        <v>49.999999999999972</v>
      </c>
      <c r="E2" s="12">
        <v>100</v>
      </c>
      <c r="F2" s="12">
        <v>100</v>
      </c>
      <c r="G2" s="12">
        <v>50</v>
      </c>
      <c r="H2" s="12">
        <v>50</v>
      </c>
    </row>
    <row r="3" spans="1:8" x14ac:dyDescent="0.25">
      <c r="A3" t="s">
        <v>14</v>
      </c>
      <c r="B3" s="7">
        <v>50.000000000000028</v>
      </c>
      <c r="C3" s="12">
        <v>50</v>
      </c>
      <c r="D3" s="12">
        <v>0</v>
      </c>
      <c r="E3" s="12">
        <v>100</v>
      </c>
      <c r="F3" s="12">
        <v>50.000000000000028</v>
      </c>
      <c r="G3" s="12">
        <v>50</v>
      </c>
      <c r="H3" s="12">
        <v>50.000000000000028</v>
      </c>
    </row>
    <row r="4" spans="1:8" x14ac:dyDescent="0.25">
      <c r="A4" t="s">
        <v>15</v>
      </c>
      <c r="B4" s="7">
        <v>50.000000000000028</v>
      </c>
      <c r="C4" s="12">
        <v>150</v>
      </c>
      <c r="D4" s="12">
        <v>150.00000000000003</v>
      </c>
      <c r="E4" s="12">
        <v>0</v>
      </c>
      <c r="F4" s="12">
        <v>49.999999999999972</v>
      </c>
      <c r="G4" s="12">
        <v>100</v>
      </c>
      <c r="H4" s="12">
        <v>99.999999999999972</v>
      </c>
    </row>
    <row r="5" spans="1:8" x14ac:dyDescent="0.25">
      <c r="A5" t="s">
        <v>16</v>
      </c>
      <c r="B5" s="7">
        <v>49.999999999999972</v>
      </c>
      <c r="C5" s="12">
        <v>16.666666666666664</v>
      </c>
      <c r="D5" s="12">
        <v>49.999999999999993</v>
      </c>
      <c r="E5" s="12">
        <v>33.333333333333343</v>
      </c>
      <c r="F5" s="12">
        <v>0</v>
      </c>
      <c r="G5" s="12">
        <v>50</v>
      </c>
      <c r="H5" s="12">
        <v>50</v>
      </c>
    </row>
    <row r="6" spans="1:8" x14ac:dyDescent="0.25">
      <c r="A6" t="s">
        <v>17</v>
      </c>
      <c r="B6" s="7">
        <v>0</v>
      </c>
      <c r="C6" s="12">
        <v>-33.333333333333329</v>
      </c>
      <c r="D6" s="12">
        <v>-50.000000000000007</v>
      </c>
      <c r="E6" s="12">
        <v>33.333333333333329</v>
      </c>
      <c r="F6" s="12">
        <v>-49.999999999999972</v>
      </c>
      <c r="G6" s="12">
        <v>0</v>
      </c>
      <c r="H6" s="12">
        <v>2.8421709430404007E-14</v>
      </c>
    </row>
    <row r="7" spans="1:8" x14ac:dyDescent="0.25">
      <c r="A7" t="s">
        <v>18</v>
      </c>
      <c r="B7" s="7">
        <v>-49.999999999999972</v>
      </c>
      <c r="C7" s="12">
        <v>16.666666666666664</v>
      </c>
      <c r="D7" s="12">
        <v>1.4210854715202004E-14</v>
      </c>
      <c r="E7" s="12">
        <v>-66.666666666666671</v>
      </c>
      <c r="F7" s="12">
        <v>-100</v>
      </c>
      <c r="G7" s="12">
        <v>0</v>
      </c>
      <c r="H7" s="12">
        <v>0</v>
      </c>
    </row>
    <row r="9" spans="1:8" x14ac:dyDescent="0.25">
      <c r="A9" t="s">
        <v>29</v>
      </c>
    </row>
    <row r="10" spans="1:8" x14ac:dyDescent="0.25">
      <c r="A10">
        <v>14000.000000000004</v>
      </c>
    </row>
    <row r="13" spans="1:8" x14ac:dyDescent="0.25">
      <c r="A13">
        <v>30</v>
      </c>
      <c r="B13" s="7">
        <f>$A$13*B2</f>
        <v>2999.9999999999982</v>
      </c>
      <c r="C13" s="7">
        <f t="shared" ref="C13:H13" si="0">$A$13*C2</f>
        <v>0</v>
      </c>
      <c r="D13" s="7">
        <f t="shared" si="0"/>
        <v>1499.9999999999991</v>
      </c>
      <c r="E13" s="7">
        <f t="shared" si="0"/>
        <v>3000</v>
      </c>
      <c r="F13" s="7">
        <f t="shared" si="0"/>
        <v>3000</v>
      </c>
      <c r="G13" s="7">
        <f t="shared" si="0"/>
        <v>1500</v>
      </c>
      <c r="H13" s="7">
        <f t="shared" si="0"/>
        <v>1500</v>
      </c>
    </row>
    <row r="14" spans="1:8" x14ac:dyDescent="0.25">
      <c r="A14">
        <v>60</v>
      </c>
      <c r="B14" s="7">
        <f>$A$14*B3</f>
        <v>3000.0000000000018</v>
      </c>
      <c r="C14" s="7">
        <f t="shared" ref="C14:H14" si="1">$A$14*C3</f>
        <v>3000</v>
      </c>
      <c r="D14" s="7">
        <f t="shared" si="1"/>
        <v>0</v>
      </c>
      <c r="E14" s="7">
        <f t="shared" si="1"/>
        <v>6000</v>
      </c>
      <c r="F14" s="7">
        <f t="shared" si="1"/>
        <v>3000.0000000000018</v>
      </c>
      <c r="G14" s="7">
        <f t="shared" si="1"/>
        <v>3000</v>
      </c>
      <c r="H14" s="7">
        <f t="shared" si="1"/>
        <v>3000.0000000000018</v>
      </c>
    </row>
    <row r="15" spans="1:8" x14ac:dyDescent="0.25">
      <c r="A15">
        <v>120</v>
      </c>
      <c r="B15" s="7">
        <f>$A$15*B4</f>
        <v>6000.0000000000036</v>
      </c>
      <c r="C15" s="7">
        <f t="shared" ref="C15:H15" si="2">$A$15*C4</f>
        <v>18000</v>
      </c>
      <c r="D15" s="7">
        <f t="shared" si="2"/>
        <v>18000.000000000004</v>
      </c>
      <c r="E15" s="7">
        <f t="shared" si="2"/>
        <v>0</v>
      </c>
      <c r="F15" s="7">
        <f t="shared" si="2"/>
        <v>5999.9999999999964</v>
      </c>
      <c r="G15" s="7">
        <f t="shared" si="2"/>
        <v>12000</v>
      </c>
      <c r="H15" s="7">
        <f t="shared" si="2"/>
        <v>11999.999999999996</v>
      </c>
    </row>
    <row r="16" spans="1:8" x14ac:dyDescent="0.25">
      <c r="B16" s="8">
        <f>SUM(B13:B15)</f>
        <v>12000.000000000004</v>
      </c>
      <c r="C16" s="8">
        <f t="shared" ref="C16:H16" si="3">SUM(C13:C15)</f>
        <v>21000</v>
      </c>
      <c r="D16" s="8">
        <f t="shared" si="3"/>
        <v>19500.000000000004</v>
      </c>
      <c r="E16" s="8">
        <f t="shared" si="3"/>
        <v>9000</v>
      </c>
      <c r="F16" s="8">
        <f t="shared" si="3"/>
        <v>11999.999999999998</v>
      </c>
      <c r="G16" s="8">
        <f t="shared" si="3"/>
        <v>16500</v>
      </c>
      <c r="H16" s="8">
        <f t="shared" si="3"/>
        <v>16500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18</vt:i4>
      </vt:variant>
    </vt:vector>
  </HeadingPairs>
  <TitlesOfParts>
    <vt:vector size="21" baseType="lpstr">
      <vt:lpstr>INFO</vt:lpstr>
      <vt:lpstr>DATA</vt:lpstr>
      <vt:lpstr>RESULTS</vt:lpstr>
      <vt:lpstr>AM</vt:lpstr>
      <vt:lpstr>BM</vt:lpstr>
      <vt:lpstr>COST</vt:lpstr>
      <vt:lpstr>COSTSOL</vt:lpstr>
      <vt:lpstr>D</vt:lpstr>
      <vt:lpstr>FMAXIJ</vt:lpstr>
      <vt:lpstr>LSOL</vt:lpstr>
      <vt:lpstr>NODEI</vt:lpstr>
      <vt:lpstr>NODEJ</vt:lpstr>
      <vt:lpstr>NUMLINES</vt:lpstr>
      <vt:lpstr>NUMNODES</vt:lpstr>
      <vt:lpstr>NUMSCEN</vt:lpstr>
      <vt:lpstr>PMAX</vt:lpstr>
      <vt:lpstr>PMIN</vt:lpstr>
      <vt:lpstr>PSOL</vt:lpstr>
      <vt:lpstr>RAMP_DOWN</vt:lpstr>
      <vt:lpstr>RAMP_UP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I</dc:creator>
  <cp:lastModifiedBy>Ignacio Ñancupil</cp:lastModifiedBy>
  <dcterms:created xsi:type="dcterms:W3CDTF">2019-11-28T19:40:17Z</dcterms:created>
  <dcterms:modified xsi:type="dcterms:W3CDTF">2019-11-30T22:29:22Z</dcterms:modified>
</cp:coreProperties>
</file>